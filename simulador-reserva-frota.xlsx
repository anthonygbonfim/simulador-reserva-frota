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dor" sheetId="1" r:id="rId5"/>
    <sheet state="visible" name="Config" sheetId="2" r:id="rId6"/>
    <sheet state="visible" name="Perfis" sheetId="3" r:id="rId7"/>
  </sheets>
  <definedNames>
    <definedName name="Reserva">Simulador!$C$6</definedName>
    <definedName name="faturamento">Config!$C$2</definedName>
    <definedName name="perc_reserva">Config!$C$3</definedName>
    <definedName name="perfil">Simulador!$C$13</definedName>
    <definedName name="preco_veiculo">Config!$C$5</definedName>
    <definedName name="tabela_perfis">Perfis!$A$2:$D$19</definedName>
    <definedName name="prazo">Simulador!$C$7</definedName>
    <definedName name="taxa_mensal">Simulador!$C$8</definedName>
    <definedName name="reserva_sugerida">Config!$C$4</definedName>
  </definedNames>
  <calcPr/>
</workbook>
</file>

<file path=xl/sharedStrings.xml><?xml version="1.0" encoding="utf-8"?>
<sst xmlns="http://schemas.openxmlformats.org/spreadsheetml/2006/main" count="67" uniqueCount="30">
  <si>
    <t>SIMULADOR DE RESERVA PARA FROTA</t>
  </si>
  <si>
    <t>SIMULAÇÃO</t>
  </si>
  <si>
    <t>Prazo (anos)</t>
  </si>
  <si>
    <t>Acumulado (R$)</t>
  </si>
  <si>
    <t>Veículos</t>
  </si>
  <si>
    <t>Reserva mensal (R$)</t>
  </si>
  <si>
    <t>Rendimento mensal (%)</t>
  </si>
  <si>
    <t>Total acumulado (R$)</t>
  </si>
  <si>
    <t>Veículos que dá para comprar</t>
  </si>
  <si>
    <t>Perfil da Empresa</t>
  </si>
  <si>
    <t>Expansão</t>
  </si>
  <si>
    <t>Destino</t>
  </si>
  <si>
    <t>%</t>
  </si>
  <si>
    <t>Valor(R$)</t>
  </si>
  <si>
    <t>Veículos novos</t>
  </si>
  <si>
    <t>Manutenção preventiva</t>
  </si>
  <si>
    <t>Tecnologia e rastreamento</t>
  </si>
  <si>
    <t>Armazém e estrutura</t>
  </si>
  <si>
    <t>Treinamento de motoristas</t>
  </si>
  <si>
    <t>Fundo de emergência</t>
  </si>
  <si>
    <t>Total</t>
  </si>
  <si>
    <t xml:space="preserve"> </t>
  </si>
  <si>
    <t>Faturamento Mensal</t>
  </si>
  <si>
    <t>% sugerido para reserva</t>
  </si>
  <si>
    <t>Reserva sugerida (R$)</t>
  </si>
  <si>
    <t>Preço do veículo (R$)</t>
  </si>
  <si>
    <t>Chave</t>
  </si>
  <si>
    <t>Perfil</t>
  </si>
  <si>
    <t>Conservador</t>
  </si>
  <si>
    <t>Equilibrado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</si>
</sst>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0.0%"/>
  </numFmts>
  <fonts count="8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sz val="11.0"/>
      <color theme="1"/>
      <name val="Montserrat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5.0"/>
      <color theme="1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351C75"/>
        <bgColor rgb="FF351C75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4" fontId="4" numFmtId="164" xfId="0" applyAlignment="1" applyBorder="1" applyFill="1" applyFont="1" applyNumberFormat="1">
      <alignment readingOrder="0"/>
    </xf>
    <xf borderId="1" fillId="0" fontId="4" numFmtId="0" xfId="0" applyAlignment="1" applyBorder="1" applyFont="1">
      <alignment readingOrder="0"/>
    </xf>
    <xf borderId="1" fillId="5" fontId="4" numFmtId="164" xfId="0" applyBorder="1" applyFill="1" applyFont="1" applyNumberFormat="1"/>
    <xf borderId="1" fillId="5" fontId="4" numFmtId="0" xfId="0" applyBorder="1" applyFill="1" applyFont="1"/>
    <xf borderId="1" fillId="4" fontId="4" numFmtId="0" xfId="0" applyAlignment="1" applyBorder="1" applyFill="1" applyFont="1">
      <alignment readingOrder="0"/>
    </xf>
    <xf borderId="1" fillId="4" fontId="4" numFmtId="165" xfId="0" applyAlignment="1" applyBorder="1" applyFill="1" applyFont="1" applyNumberFormat="1">
      <alignment readingOrder="0"/>
    </xf>
    <xf borderId="1" fillId="5" fontId="5" numFmtId="164" xfId="0" applyBorder="1" applyFill="1" applyFont="1" applyNumberFormat="1"/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2" fillId="3" fontId="2" numFmtId="0" xfId="0" applyAlignment="1" applyBorder="1" applyFill="1" applyFont="1">
      <alignment readingOrder="0"/>
    </xf>
    <xf borderId="3" fillId="3" fontId="2" numFmtId="0" xfId="0" applyAlignment="1" applyBorder="1" applyFill="1" applyFont="1">
      <alignment readingOrder="0"/>
    </xf>
    <xf borderId="4" fillId="3" fontId="2" numFmtId="0" xfId="0" applyAlignment="1" applyBorder="1" applyFill="1" applyFont="1">
      <alignment readingOrder="0"/>
    </xf>
    <xf borderId="5" fillId="0" fontId="4" numFmtId="0" xfId="0" applyAlignment="1" applyBorder="1" applyFont="1">
      <alignment readingOrder="0"/>
    </xf>
    <xf borderId="0" fillId="0" fontId="4" numFmtId="9" xfId="0" applyFont="1" applyNumberFormat="1"/>
    <xf borderId="6" fillId="0" fontId="4" numFmtId="164" xfId="0" applyBorder="1" applyFont="1" applyNumberFormat="1"/>
    <xf borderId="7" fillId="3" fontId="2" numFmtId="0" xfId="0" applyAlignment="1" applyBorder="1" applyFill="1" applyFont="1">
      <alignment readingOrder="0"/>
    </xf>
    <xf borderId="8" fillId="3" fontId="2" numFmtId="9" xfId="0" applyAlignment="1" applyBorder="1" applyFill="1" applyFont="1" applyNumberFormat="1">
      <alignment readingOrder="0"/>
    </xf>
    <xf borderId="9" fillId="3" fontId="2" numFmtId="164" xfId="0" applyAlignment="1" applyBorder="1" applyFill="1" applyFont="1" applyNumberFormat="1">
      <alignment readingOrder="0"/>
    </xf>
    <xf borderId="0" fillId="5" fontId="4" numFmtId="164" xfId="0" applyAlignment="1" applyFill="1" applyFont="1" applyNumberFormat="1">
      <alignment readingOrder="0"/>
    </xf>
    <xf borderId="0" fillId="5" fontId="4" numFmtId="9" xfId="0" applyAlignment="1" applyFill="1" applyFont="1" applyNumberFormat="1">
      <alignment readingOrder="0"/>
    </xf>
    <xf borderId="0" fillId="5" fontId="4" numFmtId="0" xfId="0" applyFill="1" applyFont="1"/>
    <xf borderId="0" fillId="0" fontId="4" numFmtId="0" xfId="0" applyFont="1"/>
    <xf borderId="0" fillId="0" fontId="4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2E1A5C"/>
                </a:solidFill>
                <a:latin typeface="+mn-lt"/>
              </a:defRPr>
            </a:pPr>
            <a:r>
              <a:rPr b="1" sz="2000">
                <a:solidFill>
                  <a:srgbClr val="2E1A5C"/>
                </a:solidFill>
                <a:latin typeface="+mn-lt"/>
              </a:rPr>
              <a:t>Divisão da Reserva</a:t>
            </a:r>
          </a:p>
        </c:rich>
      </c:tx>
      <c:layout>
        <c:manualLayout>
          <c:xMode val="edge"/>
          <c:yMode val="edge"/>
          <c:x val="0.026056623746495526"/>
          <c:y val="0.04230650183164336"/>
        </c:manualLayout>
      </c:layout>
      <c:overlay val="0"/>
    </c:title>
    <c:plotArea>
      <c:layout/>
      <c:doughnutChart>
        <c:varyColors val="1"/>
        <c:ser>
          <c:idx val="0"/>
          <c:order val="0"/>
          <c:tx>
            <c:strRef>
              <c:f>Simulador!$D$13:$D$14</c:f>
            </c:strRef>
          </c:tx>
          <c:dPt>
            <c:idx val="0"/>
            <c:explosion val="0"/>
            <c:spPr>
              <a:solidFill>
                <a:srgbClr val="2E1A5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45288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5E3F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9A83D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9A83D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B9A8E4"/>
              </a:solidFill>
              <a:ln cmpd="sng" w="9525">
                <a:solidFill>
                  <a:srgbClr val="FFFFFF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Simulador!$B$15:$B$20</c:f>
            </c:strRef>
          </c:cat>
          <c:val>
            <c:numRef>
              <c:f>Simulador!$D$15:$D$20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 sz="1200">
              <a:solidFill>
                <a:srgbClr val="666666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1</xdr:row>
      <xdr:rowOff>104775</xdr:rowOff>
    </xdr:from>
    <xdr:ext cx="7181850" cy="3914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1.88"/>
    <col customWidth="1" min="3" max="3" width="19.25"/>
    <col customWidth="1" min="4" max="4" width="14.63"/>
    <col customWidth="1" min="5" max="5" width="18.25"/>
    <col customWidth="1" min="6" max="6" width="14.88"/>
  </cols>
  <sheetData>
    <row r="2">
      <c r="B2" s="1" t="s">
        <v>0</v>
      </c>
    </row>
    <row r="5" ht="25.5" customHeight="1">
      <c r="B5" s="2" t="s">
        <v>1</v>
      </c>
      <c r="D5" s="2" t="s">
        <v>2</v>
      </c>
      <c r="E5" s="2" t="s">
        <v>3</v>
      </c>
      <c r="F5" s="2" t="s">
        <v>4</v>
      </c>
    </row>
    <row r="6">
      <c r="B6" s="3" t="s">
        <v>5</v>
      </c>
      <c r="C6" s="4">
        <v>3000.0</v>
      </c>
      <c r="D6" s="5">
        <v>1.0</v>
      </c>
      <c r="E6" s="6">
        <f>FV(taxa_mensal,D6*12,-Reserva,0)</f>
        <v>37627.01014</v>
      </c>
      <c r="F6" s="7">
        <f>ROUNDDOWN(E6/preco_veiculo,0)</f>
        <v>0</v>
      </c>
    </row>
    <row r="7">
      <c r="B7" s="3" t="s">
        <v>2</v>
      </c>
      <c r="C7" s="8">
        <v>5.0</v>
      </c>
      <c r="D7" s="5">
        <v>2.0</v>
      </c>
      <c r="E7" s="6">
        <f>FV(taxa_mensal,D7*12,-Reserva,0)</f>
        <v>79029.46533</v>
      </c>
      <c r="F7" s="7">
        <f>ROUNDDOWN(E7/preco_veiculo,0)</f>
        <v>0</v>
      </c>
    </row>
    <row r="8">
      <c r="B8" s="3" t="s">
        <v>6</v>
      </c>
      <c r="C8" s="9">
        <v>0.008</v>
      </c>
      <c r="D8" s="5">
        <v>3.0</v>
      </c>
      <c r="E8" s="6">
        <f>FV(taxa_mensal,D8*12,-Reserva,0)</f>
        <v>124586.1888</v>
      </c>
      <c r="F8" s="7">
        <f>ROUNDDOWN(E8/preco_veiculo,0)</f>
        <v>0</v>
      </c>
    </row>
    <row r="9">
      <c r="B9" s="3" t="s">
        <v>7</v>
      </c>
      <c r="C9" s="10">
        <f>FV(taxa_mensal,prazo*12,-Reserva,0)</f>
        <v>229871.6005</v>
      </c>
      <c r="D9" s="5">
        <v>5.0</v>
      </c>
      <c r="E9" s="6">
        <f>FV(taxa_mensal,D9*12,-Reserva,0)</f>
        <v>229871.6005</v>
      </c>
      <c r="F9" s="7">
        <f>ROUNDDOWN(E9/preco_veiculo,0)</f>
        <v>1</v>
      </c>
    </row>
    <row r="10">
      <c r="B10" s="3" t="s">
        <v>8</v>
      </c>
      <c r="C10" s="7">
        <f>ROUNDDOWN(C9/preco_veiculo,0)</f>
        <v>1</v>
      </c>
      <c r="D10" s="5">
        <v>10.0</v>
      </c>
      <c r="E10" s="6">
        <f>FV(taxa_mensal,D10*12,-Reserva,0)</f>
        <v>600652.4082</v>
      </c>
      <c r="F10" s="7">
        <f>ROUNDDOWN(E10/preco_veiculo,0)</f>
        <v>3</v>
      </c>
    </row>
    <row r="11">
      <c r="B11" s="11"/>
    </row>
    <row r="12">
      <c r="B12" s="11"/>
    </row>
    <row r="13">
      <c r="B13" s="12" t="s">
        <v>9</v>
      </c>
      <c r="C13" s="13" t="s">
        <v>10</v>
      </c>
    </row>
    <row r="14">
      <c r="B14" s="14" t="s">
        <v>11</v>
      </c>
      <c r="C14" s="15" t="s">
        <v>12</v>
      </c>
      <c r="D14" s="16" t="s">
        <v>13</v>
      </c>
    </row>
    <row r="15">
      <c r="B15" s="17" t="s">
        <v>14</v>
      </c>
      <c r="C15" s="18">
        <f>VLOOKUP(perfil&amp;B15,tabela_perfis,4,0)</f>
        <v>0.5</v>
      </c>
      <c r="D15" s="19">
        <f>C15*Reserva</f>
        <v>1500</v>
      </c>
    </row>
    <row r="16">
      <c r="B16" s="17" t="s">
        <v>15</v>
      </c>
      <c r="C16" s="18">
        <f>VLOOKUP(perfil&amp;B16,tabela_perfis,4,0)</f>
        <v>0.1</v>
      </c>
      <c r="D16" s="19">
        <f>C16*Reserva</f>
        <v>300</v>
      </c>
    </row>
    <row r="17">
      <c r="B17" s="17" t="s">
        <v>16</v>
      </c>
      <c r="C17" s="18">
        <f>VLOOKUP(perfil&amp;B17,tabela_perfis,4,0)</f>
        <v>0.15</v>
      </c>
      <c r="D17" s="19">
        <f>C17*Reserva</f>
        <v>450</v>
      </c>
    </row>
    <row r="18">
      <c r="B18" s="17" t="s">
        <v>17</v>
      </c>
      <c r="C18" s="18">
        <f>VLOOKUP(perfil&amp;B18,tabela_perfis,4,0)</f>
        <v>0.15</v>
      </c>
      <c r="D18" s="19">
        <f>C18*Reserva</f>
        <v>450</v>
      </c>
    </row>
    <row r="19">
      <c r="B19" s="17" t="s">
        <v>18</v>
      </c>
      <c r="C19" s="18">
        <f>VLOOKUP(perfil&amp;B19,tabela_perfis,4,0)</f>
        <v>0.05</v>
      </c>
      <c r="D19" s="19">
        <f>C19*Reserva</f>
        <v>150</v>
      </c>
    </row>
    <row r="20">
      <c r="B20" s="17" t="s">
        <v>19</v>
      </c>
      <c r="C20" s="18">
        <f>VLOOKUP(perfil&amp;B20,tabela_perfis,4,0)</f>
        <v>0.05</v>
      </c>
      <c r="D20" s="19">
        <f>C20*Reserva</f>
        <v>150</v>
      </c>
    </row>
    <row r="21">
      <c r="B21" s="20" t="s">
        <v>20</v>
      </c>
      <c r="C21" s="21">
        <f t="shared" ref="C21:D21" si="1">SUM(C15:C20)</f>
        <v>1</v>
      </c>
      <c r="D21" s="22">
        <f t="shared" si="1"/>
        <v>3000</v>
      </c>
    </row>
    <row r="30">
      <c r="G30" s="11" t="s">
        <v>21</v>
      </c>
    </row>
  </sheetData>
  <mergeCells count="2">
    <mergeCell ref="B2:F4"/>
    <mergeCell ref="B5:C5"/>
  </mergeCells>
  <dataValidations>
    <dataValidation type="list" allowBlank="1" showErrorMessage="1" sqref="C13">
      <formula1>"Conservador,Equilibrado,Expansão"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2">
      <c r="B2" s="11" t="s">
        <v>22</v>
      </c>
      <c r="C2" s="23">
        <v>100000.0</v>
      </c>
    </row>
    <row r="3">
      <c r="B3" s="11" t="s">
        <v>23</v>
      </c>
      <c r="C3" s="24">
        <v>0.1</v>
      </c>
    </row>
    <row r="4">
      <c r="B4" s="11" t="s">
        <v>24</v>
      </c>
      <c r="C4" s="25">
        <f>PRODUCT(faturamento*perc_reserva)</f>
        <v>10000</v>
      </c>
    </row>
    <row r="5">
      <c r="B5" s="11" t="s">
        <v>25</v>
      </c>
      <c r="C5" s="23">
        <v>180000.0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3" max="3" width="23.88"/>
  </cols>
  <sheetData>
    <row r="1">
      <c r="A1" s="11" t="s">
        <v>26</v>
      </c>
      <c r="B1" s="11" t="s">
        <v>27</v>
      </c>
      <c r="C1" s="11" t="s">
        <v>11</v>
      </c>
      <c r="D1" s="11" t="s">
        <v>12</v>
      </c>
    </row>
    <row r="2">
      <c r="A2" s="26" t="str">
        <f t="shared" ref="A2:A19" si="1">B2&amp;C2</f>
        <v>ConservadorVeículos novos</v>
      </c>
      <c r="B2" s="11" t="s">
        <v>28</v>
      </c>
      <c r="C2" s="11" t="s">
        <v>14</v>
      </c>
      <c r="D2" s="27">
        <v>0.2</v>
      </c>
    </row>
    <row r="3">
      <c r="A3" s="26" t="str">
        <f t="shared" si="1"/>
        <v>ConservadorManutenção preventiva</v>
      </c>
      <c r="B3" s="11" t="s">
        <v>28</v>
      </c>
      <c r="C3" s="11" t="s">
        <v>15</v>
      </c>
      <c r="D3" s="27">
        <v>0.25</v>
      </c>
    </row>
    <row r="4">
      <c r="A4" s="26" t="str">
        <f t="shared" si="1"/>
        <v>ConservadorTecnologia e rastreamento</v>
      </c>
      <c r="B4" s="11" t="s">
        <v>28</v>
      </c>
      <c r="C4" s="11" t="s">
        <v>16</v>
      </c>
      <c r="D4" s="27">
        <v>0.1</v>
      </c>
    </row>
    <row r="5">
      <c r="A5" s="26" t="str">
        <f t="shared" si="1"/>
        <v>ConservadorArmazém e estrutura</v>
      </c>
      <c r="B5" s="11" t="s">
        <v>28</v>
      </c>
      <c r="C5" s="11" t="s">
        <v>17</v>
      </c>
      <c r="D5" s="27">
        <v>0.1</v>
      </c>
    </row>
    <row r="6">
      <c r="A6" s="26" t="str">
        <f t="shared" si="1"/>
        <v>ConservadorTreinamento de motoristas</v>
      </c>
      <c r="B6" s="11" t="s">
        <v>28</v>
      </c>
      <c r="C6" s="11" t="s">
        <v>18</v>
      </c>
      <c r="D6" s="27">
        <v>0.1</v>
      </c>
    </row>
    <row r="7">
      <c r="A7" s="26" t="str">
        <f t="shared" si="1"/>
        <v>ConservadorFundo de emergência</v>
      </c>
      <c r="B7" s="11" t="s">
        <v>28</v>
      </c>
      <c r="C7" s="11" t="s">
        <v>19</v>
      </c>
      <c r="D7" s="27">
        <v>0.25</v>
      </c>
    </row>
    <row r="8">
      <c r="A8" s="26" t="str">
        <f t="shared" si="1"/>
        <v>EquilibradoVeículos novos</v>
      </c>
      <c r="B8" s="11" t="s">
        <v>29</v>
      </c>
      <c r="C8" s="11" t="s">
        <v>14</v>
      </c>
      <c r="D8" s="27">
        <v>0.35</v>
      </c>
    </row>
    <row r="9">
      <c r="A9" s="26" t="str">
        <f t="shared" si="1"/>
        <v>EquilibradoManutenção preventiva</v>
      </c>
      <c r="B9" s="11" t="s">
        <v>29</v>
      </c>
      <c r="C9" s="11" t="s">
        <v>15</v>
      </c>
      <c r="D9" s="27">
        <v>0.2</v>
      </c>
    </row>
    <row r="10">
      <c r="A10" s="26" t="str">
        <f t="shared" si="1"/>
        <v>EquilibradoTecnologia e rastreamento</v>
      </c>
      <c r="B10" s="11" t="s">
        <v>29</v>
      </c>
      <c r="C10" s="11" t="s">
        <v>16</v>
      </c>
      <c r="D10" s="27">
        <v>0.15</v>
      </c>
    </row>
    <row r="11">
      <c r="A11" s="26" t="str">
        <f t="shared" si="1"/>
        <v>EquilibradoArmazém e estrutura</v>
      </c>
      <c r="B11" s="11" t="s">
        <v>29</v>
      </c>
      <c r="C11" s="11" t="s">
        <v>17</v>
      </c>
      <c r="D11" s="27">
        <v>0.1</v>
      </c>
    </row>
    <row r="12">
      <c r="A12" s="26" t="str">
        <f t="shared" si="1"/>
        <v>EquilibradoTreinamento de motoristas</v>
      </c>
      <c r="B12" s="11" t="s">
        <v>29</v>
      </c>
      <c r="C12" s="11" t="s">
        <v>18</v>
      </c>
      <c r="D12" s="27">
        <v>0.1</v>
      </c>
    </row>
    <row r="13">
      <c r="A13" s="26" t="str">
        <f t="shared" si="1"/>
        <v>EquilibradoFundo de emergência</v>
      </c>
      <c r="B13" s="11" t="s">
        <v>29</v>
      </c>
      <c r="C13" s="11" t="s">
        <v>19</v>
      </c>
      <c r="D13" s="27">
        <v>0.1</v>
      </c>
    </row>
    <row r="14">
      <c r="A14" s="26" t="str">
        <f t="shared" si="1"/>
        <v>ExpansãoVeículos novos</v>
      </c>
      <c r="B14" s="11" t="s">
        <v>10</v>
      </c>
      <c r="C14" s="11" t="s">
        <v>14</v>
      </c>
      <c r="D14" s="27">
        <v>0.5</v>
      </c>
    </row>
    <row r="15">
      <c r="A15" s="26" t="str">
        <f t="shared" si="1"/>
        <v>ExpansãoManutenção preventiva</v>
      </c>
      <c r="B15" s="11" t="s">
        <v>10</v>
      </c>
      <c r="C15" s="11" t="s">
        <v>15</v>
      </c>
      <c r="D15" s="27">
        <v>0.1</v>
      </c>
    </row>
    <row r="16">
      <c r="A16" s="26" t="str">
        <f t="shared" si="1"/>
        <v>ExpansãoTecnologia e rastreamento</v>
      </c>
      <c r="B16" s="11" t="s">
        <v>10</v>
      </c>
      <c r="C16" s="11" t="s">
        <v>16</v>
      </c>
      <c r="D16" s="27">
        <v>0.15</v>
      </c>
    </row>
    <row r="17">
      <c r="A17" s="26" t="str">
        <f t="shared" si="1"/>
        <v>ExpansãoArmazém e estrutura</v>
      </c>
      <c r="B17" s="11" t="s">
        <v>10</v>
      </c>
      <c r="C17" s="11" t="s">
        <v>17</v>
      </c>
      <c r="D17" s="27">
        <v>0.15</v>
      </c>
    </row>
    <row r="18">
      <c r="A18" s="26" t="str">
        <f t="shared" si="1"/>
        <v>ExpansãoTreinamento de motoristas</v>
      </c>
      <c r="B18" s="11" t="s">
        <v>10</v>
      </c>
      <c r="C18" s="11" t="s">
        <v>18</v>
      </c>
      <c r="D18" s="27">
        <v>0.05</v>
      </c>
    </row>
    <row r="19">
      <c r="A19" s="26" t="str">
        <f t="shared" si="1"/>
        <v>ExpansãoFundo de emergência</v>
      </c>
      <c r="B19" s="11" t="s">
        <v>10</v>
      </c>
      <c r="C19" s="11" t="s">
        <v>19</v>
      </c>
      <c r="D19" s="27">
        <v>0.05</v>
      </c>
    </row>
  </sheetData>
  <drawing r:id="rId1"/>
</worksheet>
</file>